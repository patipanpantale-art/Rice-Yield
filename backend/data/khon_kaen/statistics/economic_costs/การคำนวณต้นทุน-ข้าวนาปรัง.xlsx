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EADMIN\Desktop\คำนวณต้นทุน\พืชอาหาร\"/>
    </mc:Choice>
  </mc:AlternateContent>
  <xr:revisionPtr revIDLastSave="0" documentId="13_ncr:1_{5F1C0BA4-139F-47D2-B0B2-A78D9E6F9E7D}" xr6:coauthVersionLast="47" xr6:coauthVersionMax="47" xr10:uidLastSave="{00000000-0000-0000-0000-000000000000}"/>
  <bookViews>
    <workbookView xWindow="-120" yWindow="-120" windowWidth="20730" windowHeight="11160" xr2:uid="{C9156BA1-0EA8-4232-A581-ED8CE4F3F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26" i="1"/>
  <c r="D24" i="1"/>
  <c r="D19" i="1"/>
  <c r="D18" i="1"/>
  <c r="D11" i="1"/>
  <c r="D6" i="1"/>
  <c r="F26" i="1" l="1"/>
  <c r="D16" i="1"/>
  <c r="D25" i="1" s="1"/>
  <c r="F25" i="1" l="1"/>
  <c r="D27" i="1"/>
  <c r="F27" i="1" s="1"/>
</calcChain>
</file>

<file path=xl/sharedStrings.xml><?xml version="1.0" encoding="utf-8"?>
<sst xmlns="http://schemas.openxmlformats.org/spreadsheetml/2006/main" count="61" uniqueCount="39">
  <si>
    <t xml:space="preserve">คำนวณต้นทุนการผลิตข้าวนาปรัง </t>
  </si>
  <si>
    <r>
      <t xml:space="preserve">  </t>
    </r>
    <r>
      <rPr>
        <b/>
        <sz val="18"/>
        <color indexed="10"/>
        <rFont val="Wingdings"/>
        <charset val="2"/>
      </rPr>
      <t>F</t>
    </r>
    <r>
      <rPr>
        <b/>
        <sz val="18"/>
        <color indexed="10"/>
        <rFont val="Browallia New"/>
        <family val="2"/>
      </rPr>
      <t xml:space="preserve">    (ใส่ตัวเลขของตนเองแทน ในช่องสีเหลือง )  เป็นการคิดคำนวณต้นทุนอย่างง่ายเท่านั้น </t>
    </r>
  </si>
  <si>
    <r>
      <t xml:space="preserve"> พื้นที่เพาะปลูก แปลงที่คำนวณ ระบุจำนวณไร่     </t>
    </r>
    <r>
      <rPr>
        <b/>
        <sz val="18"/>
        <color indexed="12"/>
        <rFont val="Wingdings 2"/>
        <family val="1"/>
        <charset val="2"/>
      </rPr>
      <t>E</t>
    </r>
  </si>
  <si>
    <t>ไร่</t>
  </si>
  <si>
    <t xml:space="preserve"> 1. ค่าใช้จ่าย</t>
  </si>
  <si>
    <t xml:space="preserve">     1.1 ค่าแรงงาน</t>
  </si>
  <si>
    <t>บาท</t>
  </si>
  <si>
    <t xml:space="preserve">         ค่าเตรียมดิน</t>
  </si>
  <si>
    <t xml:space="preserve">         ค่าปลูก รวมค่าเตรียมพันธุ์</t>
  </si>
  <si>
    <t xml:space="preserve">         ค่าดูแลรักษา</t>
  </si>
  <si>
    <t xml:space="preserve"> ( ค่าแรงค่าจ้างดายหญ้า ใส่ปุ๋ย ฉีดยา ให้น้ำ ฯลฯ)</t>
  </si>
  <si>
    <t xml:space="preserve">         ค่าเก็บเกี่ยว รวบรวบ </t>
  </si>
  <si>
    <t xml:space="preserve"> ( ไม่รวมค่าขนไปขาย )</t>
  </si>
  <si>
    <t xml:space="preserve">     1.2 ค่าวัสดุ</t>
  </si>
  <si>
    <t xml:space="preserve">        ค่าพันธุ์</t>
  </si>
  <si>
    <t xml:space="preserve">        ค่าปุ๋ย</t>
  </si>
  <si>
    <t xml:space="preserve">        ค่ายาปราบศัตรูพืชและวัชพืช</t>
  </si>
  <si>
    <t xml:space="preserve">        ค่าวัสดุอื่นๆ น้ำมันเชื้อเพลิง และค่าซ่อมแซมอุปกรณ์</t>
  </si>
  <si>
    <t xml:space="preserve">    1.3 เสียโอกาสเงินลงทุน</t>
  </si>
  <si>
    <t>( อัตราดอกเบี้ยร้อยละ ต่อปี)</t>
  </si>
  <si>
    <t xml:space="preserve">    1.4 ค่าเช่าที่ดิน</t>
  </si>
  <si>
    <t xml:space="preserve">    1.5 ค่าเสื่อมอุปกรณ์</t>
  </si>
  <si>
    <t>บาทต่อไร่</t>
  </si>
  <si>
    <t xml:space="preserve"> (เป็นค่าเฉลี่ยจากการคำนวณของ สศก.)</t>
  </si>
  <si>
    <t xml:space="preserve">    1.6 ค่าเสียโอกาสอุปกรณ์</t>
  </si>
  <si>
    <t>2. ผลผลิต ที่คาดว่าจะเก็บเกี่ยวได้ในแปลงนี้</t>
  </si>
  <si>
    <t>กิโลกรัม</t>
  </si>
  <si>
    <t>3. ราคาที่คาดว่าจะขายได้</t>
  </si>
  <si>
    <t>บาทต่อตัน</t>
  </si>
  <si>
    <t>4. ผลการคำนวณตามต้นทุนของท่าน</t>
  </si>
  <si>
    <t xml:space="preserve">    ต้นทุนรวม ของเกษตรกร</t>
  </si>
  <si>
    <t>บาท คิดเป็น</t>
  </si>
  <si>
    <t>บาท/ไร่</t>
  </si>
  <si>
    <t xml:space="preserve">       รายได้</t>
  </si>
  <si>
    <t xml:space="preserve">       กำไร / ขาดทุน</t>
  </si>
  <si>
    <t>5. ต้นทุน ของ สศก.</t>
  </si>
  <si>
    <t>ที่มา :   ศูนย์สารสนเทศการเกษตร สำนักงานเศรษฐกิจการเกษตร</t>
  </si>
  <si>
    <t xml:space="preserve">          กระทรวงเกษตรและสหกรณ์</t>
  </si>
  <si>
    <t xml:space="preserve"> ธันวาคม 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</si>
</sst>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1"/>
      <name val="Browallia New"/>
      <family val="2"/>
    </font>
    <font>
      <b/>
      <sz val="26"/>
      <color rgb="FF0000CC"/>
      <name val="Browallia New"/>
      <family val="2"/>
    </font>
    <font>
      <sz val="26"/>
      <color theme="1"/>
      <name val="Tahoma"/>
      <family val="2"/>
      <charset val="222"/>
      <scheme val="minor"/>
    </font>
    <font>
      <b/>
      <sz val="18"/>
      <color rgb="FFFF0000"/>
      <name val="Browallia New"/>
      <family val="2"/>
    </font>
    <font>
      <b/>
      <sz val="18"/>
      <color indexed="10"/>
      <name val="Wingdings"/>
      <charset val="2"/>
    </font>
    <font>
      <b/>
      <sz val="18"/>
      <color indexed="10"/>
      <name val="Browallia New"/>
      <family val="2"/>
    </font>
    <font>
      <b/>
      <sz val="18"/>
      <color rgb="FF0000CC"/>
      <name val="Browallia New"/>
      <family val="2"/>
    </font>
    <font>
      <b/>
      <sz val="18"/>
      <color indexed="12"/>
      <name val="Wingdings 2"/>
      <family val="1"/>
      <charset val="2"/>
    </font>
    <font>
      <b/>
      <sz val="20"/>
      <color theme="1"/>
      <name val="Browallia New"/>
      <family val="2"/>
    </font>
    <font>
      <b/>
      <sz val="18"/>
      <name val="Browallia New"/>
      <family val="2"/>
    </font>
    <font>
      <b/>
      <sz val="18"/>
      <color theme="1"/>
      <name val="Browallia New"/>
      <family val="2"/>
    </font>
    <font>
      <sz val="18"/>
      <color rgb="FFFF0000"/>
      <name val="Browallia New"/>
      <family val="2"/>
    </font>
    <font>
      <b/>
      <sz val="20"/>
      <name val="Browallia New"/>
      <family val="2"/>
    </font>
    <font>
      <b/>
      <sz val="20"/>
      <color rgb="FF0000CC"/>
      <name val="Browallia New"/>
      <family val="2"/>
    </font>
    <font>
      <b/>
      <sz val="20"/>
      <color rgb="FFFF0000"/>
      <name val="Browallia New"/>
      <family val="2"/>
    </font>
    <font>
      <sz val="16"/>
      <color theme="1"/>
      <name val="Browallia New"/>
      <family val="2"/>
    </font>
    <font>
      <sz val="16"/>
      <color rgb="FF0000CC"/>
      <name val="Browallia Ne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5" fillId="2" borderId="0" xfId="0" applyFont="1" applyFill="1"/>
    <xf numFmtId="0" fontId="2" fillId="2" borderId="0" xfId="0" applyFont="1" applyFill="1"/>
    <xf numFmtId="0" fontId="8" fillId="3" borderId="1" xfId="0" applyFont="1" applyFill="1" applyBorder="1"/>
    <xf numFmtId="0" fontId="10" fillId="4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/>
    </xf>
    <xf numFmtId="0" fontId="11" fillId="6" borderId="2" xfId="0" applyFont="1" applyFill="1" applyBorder="1"/>
    <xf numFmtId="0" fontId="2" fillId="6" borderId="3" xfId="0" applyFont="1" applyFill="1" applyBorder="1"/>
    <xf numFmtId="0" fontId="2" fillId="5" borderId="4" xfId="0" applyFont="1" applyFill="1" applyBorder="1" applyAlignment="1">
      <alignment horizontal="center"/>
    </xf>
    <xf numFmtId="0" fontId="12" fillId="7" borderId="1" xfId="0" applyFont="1" applyFill="1" applyBorder="1"/>
    <xf numFmtId="4" fontId="12" fillId="0" borderId="1" xfId="0" applyNumberFormat="1" applyFont="1" applyBorder="1"/>
    <xf numFmtId="0" fontId="2" fillId="5" borderId="5" xfId="0" applyFont="1" applyFill="1" applyBorder="1" applyAlignment="1">
      <alignment horizontal="center"/>
    </xf>
    <xf numFmtId="0" fontId="2" fillId="0" borderId="1" xfId="0" applyFont="1" applyBorder="1"/>
    <xf numFmtId="4" fontId="2" fillId="4" borderId="6" xfId="0" applyNumberFormat="1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3" fontId="12" fillId="3" borderId="3" xfId="1" applyFont="1" applyFill="1" applyBorder="1"/>
    <xf numFmtId="4" fontId="2" fillId="0" borderId="1" xfId="0" applyNumberFormat="1" applyFont="1" applyBorder="1"/>
    <xf numFmtId="4" fontId="2" fillId="3" borderId="1" xfId="0" applyNumberFormat="1" applyFont="1" applyFill="1" applyBorder="1"/>
    <xf numFmtId="0" fontId="13" fillId="0" borderId="0" xfId="0" applyFont="1"/>
    <xf numFmtId="0" fontId="11" fillId="8" borderId="1" xfId="0" applyFont="1" applyFill="1" applyBorder="1"/>
    <xf numFmtId="0" fontId="2" fillId="5" borderId="6" xfId="0" applyFont="1" applyFill="1" applyBorder="1" applyAlignment="1">
      <alignment horizontal="center"/>
    </xf>
    <xf numFmtId="4" fontId="2" fillId="0" borderId="0" xfId="0" applyNumberFormat="1" applyFont="1"/>
    <xf numFmtId="0" fontId="2" fillId="0" borderId="0" xfId="0" applyFont="1" applyAlignment="1">
      <alignment horizontal="center"/>
    </xf>
    <xf numFmtId="0" fontId="12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5" borderId="0" xfId="0" applyFont="1" applyFill="1"/>
    <xf numFmtId="0" fontId="14" fillId="10" borderId="7" xfId="0" applyFont="1" applyFill="1" applyBorder="1"/>
    <xf numFmtId="4" fontId="10" fillId="10" borderId="8" xfId="0" applyNumberFormat="1" applyFont="1" applyFill="1" applyBorder="1"/>
    <xf numFmtId="0" fontId="2" fillId="0" borderId="9" xfId="0" applyFont="1" applyBorder="1" applyAlignment="1">
      <alignment horizontal="center"/>
    </xf>
    <xf numFmtId="0" fontId="15" fillId="11" borderId="8" xfId="0" applyFont="1" applyFill="1" applyBorder="1"/>
    <xf numFmtId="4" fontId="16" fillId="10" borderId="8" xfId="0" applyNumberFormat="1" applyFont="1" applyFill="1" applyBorder="1"/>
    <xf numFmtId="0" fontId="13" fillId="0" borderId="8" xfId="0" applyFont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12" fillId="10" borderId="8" xfId="0" applyFont="1" applyFill="1" applyBorder="1"/>
    <xf numFmtId="4" fontId="12" fillId="10" borderId="8" xfId="0" applyNumberFormat="1" applyFont="1" applyFill="1" applyBorder="1"/>
    <xf numFmtId="0" fontId="2" fillId="10" borderId="8" xfId="0" applyFont="1" applyFill="1" applyBorder="1" applyAlignment="1">
      <alignment horizontal="center"/>
    </xf>
    <xf numFmtId="4" fontId="8" fillId="10" borderId="8" xfId="0" applyNumberFormat="1" applyFont="1" applyFill="1" applyBorder="1"/>
    <xf numFmtId="0" fontId="8" fillId="10" borderId="8" xfId="0" applyFont="1" applyFill="1" applyBorder="1" applyAlignment="1">
      <alignment horizontal="center"/>
    </xf>
    <xf numFmtId="0" fontId="11" fillId="12" borderId="10" xfId="0" applyFont="1" applyFill="1" applyBorder="1"/>
    <xf numFmtId="4" fontId="14" fillId="10" borderId="8" xfId="0" applyNumberFormat="1" applyFont="1" applyFill="1" applyBorder="1"/>
    <xf numFmtId="4" fontId="2" fillId="10" borderId="8" xfId="0" applyNumberFormat="1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4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2" fillId="10" borderId="0" xfId="0" applyFont="1" applyFill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center"/>
    </xf>
    <xf numFmtId="49" fontId="18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0</xdr:row>
      <xdr:rowOff>295274</xdr:rowOff>
    </xdr:from>
    <xdr:to>
      <xdr:col>5</xdr:col>
      <xdr:colOff>19051</xdr:colOff>
      <xdr:row>2</xdr:row>
      <xdr:rowOff>9524</xdr:rowOff>
    </xdr:to>
    <xdr:sp macro="" textlink="">
      <xdr:nvSpPr>
        <xdr:cNvPr id="2" name="สี่เหลี่ยมมุมมน 1">
          <a:extLst>
            <a:ext uri="{FF2B5EF4-FFF2-40B4-BE49-F238E27FC236}">
              <a16:creationId xmlns:a16="http://schemas.microsoft.com/office/drawing/2014/main" id="{28DC9EA3-9D5F-4D8A-8DCB-01713843BD57}"/>
            </a:ext>
          </a:extLst>
        </xdr:cNvPr>
        <xdr:cNvSpPr/>
      </xdr:nvSpPr>
      <xdr:spPr>
        <a:xfrm flipV="1">
          <a:off x="571501" y="295274"/>
          <a:ext cx="5895975" cy="523875"/>
        </a:xfrm>
        <a:prstGeom prst="roundRect">
          <a:avLst/>
        </a:prstGeom>
        <a:solidFill>
          <a:schemeClr val="accent3">
            <a:lumMod val="60000"/>
            <a:lumOff val="40000"/>
            <a:alpha val="3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th-TH"/>
        </a:p>
      </xdr:txBody>
    </xdr:sp>
    <xdr:clientData/>
  </xdr:twoCellAnchor>
  <xdr:twoCellAnchor>
    <xdr:from>
      <xdr:col>7</xdr:col>
      <xdr:colOff>142875</xdr:colOff>
      <xdr:row>23</xdr:row>
      <xdr:rowOff>314326</xdr:rowOff>
    </xdr:from>
    <xdr:to>
      <xdr:col>10</xdr:col>
      <xdr:colOff>200025</xdr:colOff>
      <xdr:row>25</xdr:row>
      <xdr:rowOff>171450</xdr:rowOff>
    </xdr:to>
    <xdr:sp macro="" textlink="">
      <xdr:nvSpPr>
        <xdr:cNvPr id="3" name="ลูกศรซ้าย 3">
          <a:extLst>
            <a:ext uri="{FF2B5EF4-FFF2-40B4-BE49-F238E27FC236}">
              <a16:creationId xmlns:a16="http://schemas.microsoft.com/office/drawing/2014/main" id="{520A9334-D1AA-4F10-A7FF-B752178FA521}"/>
            </a:ext>
          </a:extLst>
        </xdr:cNvPr>
        <xdr:cNvSpPr/>
      </xdr:nvSpPr>
      <xdr:spPr>
        <a:xfrm>
          <a:off x="8515350" y="8096251"/>
          <a:ext cx="1809750" cy="638174"/>
        </a:xfrm>
        <a:prstGeom prst="leftArrow">
          <a:avLst/>
        </a:prstGeom>
        <a:solidFill>
          <a:schemeClr val="bg1">
            <a:alpha val="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200" b="1">
              <a:solidFill>
                <a:srgbClr val="FF3300"/>
              </a:solidFill>
            </a:rPr>
            <a:t>ต้นทุนของเกษตรกร</a:t>
          </a:r>
        </a:p>
      </xdr:txBody>
    </xdr:sp>
    <xdr:clientData/>
  </xdr:twoCellAnchor>
  <xdr:twoCellAnchor>
    <xdr:from>
      <xdr:col>7</xdr:col>
      <xdr:colOff>161925</xdr:colOff>
      <xdr:row>26</xdr:row>
      <xdr:rowOff>238125</xdr:rowOff>
    </xdr:from>
    <xdr:to>
      <xdr:col>10</xdr:col>
      <xdr:colOff>219075</xdr:colOff>
      <xdr:row>28</xdr:row>
      <xdr:rowOff>161924</xdr:rowOff>
    </xdr:to>
    <xdr:sp macro="" textlink="">
      <xdr:nvSpPr>
        <xdr:cNvPr id="4" name="ลูกศรซ้าย 4">
          <a:extLst>
            <a:ext uri="{FF2B5EF4-FFF2-40B4-BE49-F238E27FC236}">
              <a16:creationId xmlns:a16="http://schemas.microsoft.com/office/drawing/2014/main" id="{C22D6684-AEC5-4497-A12B-71E38A454194}"/>
            </a:ext>
          </a:extLst>
        </xdr:cNvPr>
        <xdr:cNvSpPr/>
      </xdr:nvSpPr>
      <xdr:spPr>
        <a:xfrm>
          <a:off x="8534400" y="9144000"/>
          <a:ext cx="1809750" cy="657224"/>
        </a:xfrm>
        <a:prstGeom prst="leftArrow">
          <a:avLst>
            <a:gd name="adj1" fmla="val 70290"/>
            <a:gd name="adj2" fmla="val 50000"/>
          </a:avLst>
        </a:prstGeom>
        <a:solidFill>
          <a:schemeClr val="bg1">
            <a:alpha val="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200" b="1">
              <a:solidFill>
                <a:srgbClr val="FF3300"/>
              </a:solidFill>
            </a:rPr>
            <a:t>ต้นทุนของเฉลี่ย ของ สศก.</a:t>
          </a:r>
        </a:p>
      </xdr:txBody>
    </xdr:sp>
    <xdr:clientData/>
  </xdr:twoCellAnchor>
  <xdr:twoCellAnchor>
    <xdr:from>
      <xdr:col>5</xdr:col>
      <xdr:colOff>733424</xdr:colOff>
      <xdr:row>3</xdr:row>
      <xdr:rowOff>76200</xdr:rowOff>
    </xdr:from>
    <xdr:to>
      <xdr:col>9</xdr:col>
      <xdr:colOff>657224</xdr:colOff>
      <xdr:row>7</xdr:row>
      <xdr:rowOff>257175</xdr:rowOff>
    </xdr:to>
    <xdr:sp macro="" textlink="">
      <xdr:nvSpPr>
        <xdr:cNvPr id="5" name="แผนผังลำดับงาน: บัตร 5">
          <a:extLst>
            <a:ext uri="{FF2B5EF4-FFF2-40B4-BE49-F238E27FC236}">
              <a16:creationId xmlns:a16="http://schemas.microsoft.com/office/drawing/2014/main" id="{50B20A4C-1538-437B-834A-3C0EF0A1A4C5}"/>
            </a:ext>
          </a:extLst>
        </xdr:cNvPr>
        <xdr:cNvSpPr/>
      </xdr:nvSpPr>
      <xdr:spPr>
        <a:xfrm>
          <a:off x="7181849" y="1219200"/>
          <a:ext cx="2914650" cy="1552575"/>
        </a:xfrm>
        <a:prstGeom prst="flowChartPunchedCard">
          <a:avLst/>
        </a:prstGeom>
        <a:solidFill>
          <a:schemeClr val="accent4">
            <a:lumMod val="20000"/>
            <a:lumOff val="80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th-TH" sz="140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หากต้องการคำนวณต้นทุนการผลิต</a:t>
          </a:r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 </a:t>
          </a:r>
        </a:p>
        <a:p>
          <a:pPr algn="l"/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ให้กรอกตัวเลขพื้นที่ปลูก และค่าใช้จ่าย ในแต่ละกิจกรรมที่จ่ายไป</a:t>
          </a:r>
        </a:p>
        <a:p>
          <a:pPr algn="l"/>
          <a:r>
            <a:rPr lang="th-TH" sz="1400" baseline="0">
              <a:solidFill>
                <a:srgbClr val="FF0000"/>
              </a:solidFill>
              <a:latin typeface="Batang" pitchFamily="18" charset="-127"/>
              <a:ea typeface="Batang" pitchFamily="18" charset="-127"/>
            </a:rPr>
            <a:t>ในการปลูกพืชนั้น ตามจำนวนพื้นที่ปลูกทั้งแปลง (ไร่)</a:t>
          </a:r>
          <a:endParaRPr lang="th-TH" sz="1400">
            <a:solidFill>
              <a:srgbClr val="FF0000"/>
            </a:solidFill>
            <a:latin typeface="Batang" pitchFamily="18" charset="-127"/>
            <a:ea typeface="Batang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DC3-D57D-4A35-8431-09EAD5E66D27}">
  <dimension ref="A2:L32"/>
  <sheetViews>
    <sheetView tabSelected="1" workbookViewId="0">
      <selection activeCell="L6" sqref="L6"/>
    </sheetView>
  </sheetViews>
  <sheetFormatPr defaultRowHeight="25.5" x14ac:dyDescent="0.5"/>
  <cols>
    <col min="1" max="1" width="4" style="1" customWidth="1"/>
    <col min="2" max="2" width="3.375" style="1" customWidth="1"/>
    <col min="3" max="3" width="49.625" style="1" customWidth="1"/>
    <col min="4" max="4" width="14.625" style="1" customWidth="1"/>
    <col min="5" max="5" width="13" style="23" customWidth="1"/>
    <col min="6" max="6" width="13.5" style="1" customWidth="1"/>
    <col min="7" max="7" width="11.75" style="1" customWidth="1"/>
    <col min="8" max="8" width="5" style="1" customWidth="1"/>
    <col min="9" max="12" width="9" style="1"/>
  </cols>
  <sheetData>
    <row r="2" spans="3:7" ht="38.25" x14ac:dyDescent="0.5">
      <c r="C2" s="51" t="s">
        <v>0</v>
      </c>
      <c r="D2" s="52"/>
      <c r="E2" s="52"/>
    </row>
    <row r="3" spans="3:7" ht="26.25" x14ac:dyDescent="0.55000000000000004">
      <c r="C3" s="2" t="s">
        <v>1</v>
      </c>
      <c r="D3" s="3"/>
      <c r="E3" s="3"/>
      <c r="F3" s="3"/>
    </row>
    <row r="4" spans="3:7" ht="30" x14ac:dyDescent="0.65">
      <c r="C4" s="4" t="s">
        <v>2</v>
      </c>
      <c r="D4" s="5">
        <v>1</v>
      </c>
      <c r="E4" s="6" t="s">
        <v>3</v>
      </c>
    </row>
    <row r="5" spans="3:7" ht="26.25" x14ac:dyDescent="0.55000000000000004">
      <c r="C5" s="7" t="s">
        <v>4</v>
      </c>
      <c r="D5" s="8"/>
      <c r="E5" s="9"/>
    </row>
    <row r="6" spans="3:7" ht="26.25" x14ac:dyDescent="0.55000000000000004">
      <c r="C6" s="10" t="s">
        <v>5</v>
      </c>
      <c r="D6" s="11">
        <f>SUM(D7:D10)</f>
        <v>0</v>
      </c>
      <c r="E6" s="12" t="s">
        <v>6</v>
      </c>
    </row>
    <row r="7" spans="3:7" x14ac:dyDescent="0.5">
      <c r="C7" s="13" t="s">
        <v>7</v>
      </c>
      <c r="D7" s="14"/>
      <c r="E7" s="12" t="s">
        <v>6</v>
      </c>
    </row>
    <row r="8" spans="3:7" x14ac:dyDescent="0.5">
      <c r="C8" s="13" t="s">
        <v>8</v>
      </c>
      <c r="D8" s="15"/>
      <c r="E8" s="12" t="s">
        <v>6</v>
      </c>
    </row>
    <row r="9" spans="3:7" x14ac:dyDescent="0.5">
      <c r="C9" s="13" t="s">
        <v>9</v>
      </c>
      <c r="D9" s="15"/>
      <c r="E9" s="12" t="s">
        <v>6</v>
      </c>
      <c r="F9" s="1" t="s">
        <v>10</v>
      </c>
    </row>
    <row r="10" spans="3:7" x14ac:dyDescent="0.5">
      <c r="C10" s="13" t="s">
        <v>11</v>
      </c>
      <c r="D10" s="15"/>
      <c r="E10" s="12" t="s">
        <v>6</v>
      </c>
      <c r="F10" s="1" t="s">
        <v>12</v>
      </c>
    </row>
    <row r="11" spans="3:7" ht="26.25" x14ac:dyDescent="0.55000000000000004">
      <c r="C11" s="10" t="s">
        <v>13</v>
      </c>
      <c r="D11" s="11">
        <f>SUM(D12:D15)</f>
        <v>0</v>
      </c>
      <c r="E11" s="12" t="s">
        <v>6</v>
      </c>
    </row>
    <row r="12" spans="3:7" x14ac:dyDescent="0.5">
      <c r="C12" s="13" t="s">
        <v>14</v>
      </c>
      <c r="D12" s="14"/>
      <c r="E12" s="12" t="s">
        <v>6</v>
      </c>
    </row>
    <row r="13" spans="3:7" x14ac:dyDescent="0.5">
      <c r="C13" s="13" t="s">
        <v>15</v>
      </c>
      <c r="D13" s="15"/>
      <c r="E13" s="12" t="s">
        <v>6</v>
      </c>
    </row>
    <row r="14" spans="3:7" x14ac:dyDescent="0.5">
      <c r="C14" s="13" t="s">
        <v>16</v>
      </c>
      <c r="D14" s="15"/>
      <c r="E14" s="12" t="s">
        <v>6</v>
      </c>
    </row>
    <row r="15" spans="3:7" x14ac:dyDescent="0.5">
      <c r="C15" s="13" t="s">
        <v>17</v>
      </c>
      <c r="D15" s="15"/>
      <c r="E15" s="12" t="s">
        <v>6</v>
      </c>
    </row>
    <row r="16" spans="3:7" ht="26.25" x14ac:dyDescent="0.55000000000000004">
      <c r="C16" s="10" t="s">
        <v>18</v>
      </c>
      <c r="D16" s="11">
        <f>ROUND((D6+D11)*(F16/100)*(4/12),2)</f>
        <v>0</v>
      </c>
      <c r="E16" s="12" t="s">
        <v>6</v>
      </c>
      <c r="F16" s="16">
        <v>6.5</v>
      </c>
      <c r="G16" s="1" t="s">
        <v>19</v>
      </c>
    </row>
    <row r="17" spans="1:12" ht="26.25" x14ac:dyDescent="0.55000000000000004">
      <c r="C17" s="10" t="s">
        <v>20</v>
      </c>
      <c r="D17" s="15"/>
      <c r="E17" s="12" t="s">
        <v>6</v>
      </c>
    </row>
    <row r="18" spans="1:12" ht="26.25" x14ac:dyDescent="0.55000000000000004">
      <c r="C18" s="10" t="s">
        <v>21</v>
      </c>
      <c r="D18" s="17">
        <f>+F18*D4</f>
        <v>21.73</v>
      </c>
      <c r="E18" s="12" t="s">
        <v>6</v>
      </c>
      <c r="F18" s="18">
        <v>21.73</v>
      </c>
      <c r="G18" s="6" t="s">
        <v>22</v>
      </c>
      <c r="H18" s="19" t="s">
        <v>23</v>
      </c>
    </row>
    <row r="19" spans="1:12" ht="26.25" x14ac:dyDescent="0.55000000000000004">
      <c r="C19" s="10" t="s">
        <v>24</v>
      </c>
      <c r="D19" s="17">
        <f>+F19*D4</f>
        <v>3.32</v>
      </c>
      <c r="E19" s="12" t="s">
        <v>6</v>
      </c>
      <c r="F19" s="18">
        <v>3.32</v>
      </c>
      <c r="G19" s="6" t="s">
        <v>22</v>
      </c>
      <c r="H19" s="19" t="s">
        <v>23</v>
      </c>
    </row>
    <row r="20" spans="1:12" ht="26.25" x14ac:dyDescent="0.55000000000000004">
      <c r="C20" s="7" t="s">
        <v>25</v>
      </c>
      <c r="D20" s="14"/>
      <c r="E20" s="12" t="s">
        <v>26</v>
      </c>
    </row>
    <row r="21" spans="1:12" ht="26.25" x14ac:dyDescent="0.55000000000000004">
      <c r="C21" s="20" t="s">
        <v>27</v>
      </c>
      <c r="D21" s="15"/>
      <c r="E21" s="21" t="s">
        <v>28</v>
      </c>
    </row>
    <row r="22" spans="1:12" ht="26.25" x14ac:dyDescent="0.55000000000000004">
      <c r="D22" s="22"/>
      <c r="G22" s="24"/>
    </row>
    <row r="23" spans="1:12" ht="26.25" thickBot="1" x14ac:dyDescent="0.55000000000000004">
      <c r="B23" s="25"/>
      <c r="C23" s="25"/>
      <c r="D23" s="25"/>
      <c r="E23" s="26"/>
      <c r="F23" s="25"/>
      <c r="G23" s="25"/>
      <c r="H23" s="25"/>
    </row>
    <row r="24" spans="1:12" ht="30.75" thickBot="1" x14ac:dyDescent="0.7">
      <c r="B24" s="27"/>
      <c r="C24" s="28" t="s">
        <v>29</v>
      </c>
      <c r="D24" s="29">
        <f>D4</f>
        <v>1</v>
      </c>
      <c r="E24" s="30" t="s">
        <v>3</v>
      </c>
      <c r="F24" s="27"/>
      <c r="G24" s="27"/>
      <c r="H24" s="27"/>
    </row>
    <row r="25" spans="1:12" ht="30.75" thickBot="1" x14ac:dyDescent="0.7">
      <c r="B25" s="27"/>
      <c r="C25" s="31" t="s">
        <v>30</v>
      </c>
      <c r="D25" s="32">
        <f>D6+D11+D16+D17+(D18)+(D19)</f>
        <v>25.05</v>
      </c>
      <c r="E25" s="33" t="s">
        <v>31</v>
      </c>
      <c r="F25" s="32">
        <f>D25/D24</f>
        <v>25.05</v>
      </c>
      <c r="G25" s="34" t="s">
        <v>32</v>
      </c>
      <c r="H25" s="27"/>
    </row>
    <row r="26" spans="1:12" ht="27" thickBot="1" x14ac:dyDescent="0.6">
      <c r="B26" s="27"/>
      <c r="C26" s="35" t="s">
        <v>33</v>
      </c>
      <c r="D26" s="36">
        <f>D21*D20/1000</f>
        <v>0</v>
      </c>
      <c r="E26" s="37" t="s">
        <v>31</v>
      </c>
      <c r="F26" s="38">
        <f>D26/D24</f>
        <v>0</v>
      </c>
      <c r="G26" s="39" t="s">
        <v>32</v>
      </c>
      <c r="H26" s="27"/>
    </row>
    <row r="27" spans="1:12" ht="27" thickBot="1" x14ac:dyDescent="0.6">
      <c r="B27" s="27"/>
      <c r="C27" s="35" t="s">
        <v>34</v>
      </c>
      <c r="D27" s="36">
        <f>D26-D25</f>
        <v>-25.05</v>
      </c>
      <c r="E27" s="37" t="s">
        <v>31</v>
      </c>
      <c r="F27" s="38">
        <f>D27/D24</f>
        <v>-25.05</v>
      </c>
      <c r="G27" s="39" t="s">
        <v>32</v>
      </c>
      <c r="H27" s="27"/>
    </row>
    <row r="28" spans="1:12" ht="30.75" thickBot="1" x14ac:dyDescent="0.7">
      <c r="B28" s="27"/>
      <c r="C28" s="40" t="s">
        <v>35</v>
      </c>
      <c r="D28" s="41">
        <f>+F28*D24</f>
        <v>4831.0200000000004</v>
      </c>
      <c r="E28" s="42" t="s">
        <v>31</v>
      </c>
      <c r="F28" s="41">
        <v>4831.0200000000004</v>
      </c>
      <c r="G28" s="43" t="s">
        <v>32</v>
      </c>
      <c r="H28" s="27"/>
    </row>
    <row r="29" spans="1:12" x14ac:dyDescent="0.5">
      <c r="B29" s="27"/>
      <c r="C29" s="27"/>
      <c r="D29" s="44"/>
      <c r="E29" s="45"/>
      <c r="F29" s="44"/>
      <c r="G29" s="27"/>
      <c r="H29" s="27"/>
    </row>
    <row r="30" spans="1:12" x14ac:dyDescent="0.5">
      <c r="B30" s="46"/>
      <c r="D30" s="22"/>
      <c r="F30" s="22"/>
    </row>
    <row r="31" spans="1:12" ht="22.5" x14ac:dyDescent="0.45">
      <c r="A31" s="47"/>
      <c r="B31" s="47"/>
      <c r="C31" s="48" t="s">
        <v>36</v>
      </c>
      <c r="D31" s="47"/>
      <c r="E31" s="49"/>
      <c r="F31" s="50" t="s">
        <v>38</v>
      </c>
      <c r="G31" s="47"/>
      <c r="H31" s="47"/>
      <c r="I31" s="47"/>
      <c r="J31" s="47"/>
      <c r="K31" s="47"/>
      <c r="L31" s="47"/>
    </row>
    <row r="32" spans="1:12" ht="22.5" x14ac:dyDescent="0.45">
      <c r="A32" s="47"/>
      <c r="B32" s="47"/>
      <c r="C32" s="48" t="s">
        <v>37</v>
      </c>
      <c r="D32" s="47"/>
      <c r="E32" s="49"/>
      <c r="F32" s="47"/>
      <c r="G32" s="47"/>
      <c r="H32" s="47"/>
      <c r="I32" s="47"/>
      <c r="J32" s="47"/>
      <c r="K32" s="47"/>
      <c r="L32" s="47"/>
    </row>
  </sheetData>
  <protectedRanges>
    <protectedRange sqref="D4 D7:D10 D12:D15 D17 D20:D21" name="ช่วง1_1"/>
  </protectedRanges>
  <mergeCells count="1"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OAEADMIN</dc:creator>
  <cp:lastModifiedBy>OAEADMIN</cp:lastModifiedBy>
  <dcterms:created xsi:type="dcterms:W3CDTF">2021-07-22T06:01:18Z</dcterms:created>
  <dcterms:modified xsi:type="dcterms:W3CDTF">2021-07-22T06:27:38Z</dcterms:modified>
</cp:coreProperties>
</file>